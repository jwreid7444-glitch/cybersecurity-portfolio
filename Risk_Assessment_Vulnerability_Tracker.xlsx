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wrei\Documents\"/>
    </mc:Choice>
  </mc:AlternateContent>
  <xr:revisionPtr revIDLastSave="0" documentId="13_ncr:1_{E3006F3D-F461-46DC-A6B3-2FD62D122932}" xr6:coauthVersionLast="47" xr6:coauthVersionMax="47" xr10:uidLastSave="{00000000-0000-0000-0000-000000000000}"/>
  <bookViews>
    <workbookView xWindow="-108" yWindow="-108" windowWidth="23256" windowHeight="13896" xr2:uid="{8B69E950-C81C-4235-8EFB-9C86B477DAF0}"/>
  </bookViews>
  <sheets>
    <sheet name="README" sheetId="2" r:id="rId1"/>
    <sheet name="Risk Register" sheetId="1" r:id="rId2"/>
  </sheets>
  <definedNames>
    <definedName name="_xlnm._FilterDatabase" localSheetId="1" hidden="1">'Risk Register'!$A$1:$M$1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1" l="1"/>
  <c r="I6" i="1" s="1"/>
  <c r="H5" i="1"/>
  <c r="I5" i="1" s="1"/>
  <c r="H4" i="1"/>
  <c r="I4" i="1" s="1"/>
  <c r="H3" i="1"/>
  <c r="I3" i="1" s="1"/>
  <c r="H2" i="1"/>
  <c r="I2" i="1" s="1"/>
</calcChain>
</file>

<file path=xl/sharedStrings.xml><?xml version="1.0" encoding="utf-8"?>
<sst xmlns="http://schemas.openxmlformats.org/spreadsheetml/2006/main" count="76" uniqueCount="71">
  <si>
    <t>Asset ID</t>
  </si>
  <si>
    <t>Asset Name</t>
  </si>
  <si>
    <t>Asset Type</t>
  </si>
  <si>
    <t>Threat</t>
  </si>
  <si>
    <t>Vulnerability</t>
  </si>
  <si>
    <t>Likelihood (1-5)</t>
  </si>
  <si>
    <t>Impact (1-5)</t>
  </si>
  <si>
    <t>Risk Score</t>
  </si>
  <si>
    <t>Risk Level</t>
  </si>
  <si>
    <t>Existing Controls</t>
  </si>
  <si>
    <t>Recommended Mitigation</t>
  </si>
  <si>
    <t>Owner</t>
  </si>
  <si>
    <t>Status</t>
  </si>
  <si>
    <t>A-001</t>
  </si>
  <si>
    <t>Employee Laptops (Sales Team)</t>
  </si>
  <si>
    <t>Hardware</t>
  </si>
  <si>
    <t>Theft or loss of device</t>
  </si>
  <si>
    <t>No full-disk encryption enabled</t>
  </si>
  <si>
    <t>Password login only</t>
  </si>
  <si>
    <t>Enable BitLocker full-disk encryption on all laptops</t>
  </si>
  <si>
    <t>IT Admin</t>
  </si>
  <si>
    <t>Open</t>
  </si>
  <si>
    <t>A-002</t>
  </si>
  <si>
    <t>Customer Database Server</t>
  </si>
  <si>
    <t>Server</t>
  </si>
  <si>
    <t>SQL injection attack</t>
  </si>
  <si>
    <t>Unpatched web application, no input validation</t>
  </si>
  <si>
    <t>Firewall, daily backups</t>
  </si>
  <si>
    <t>Implement parameterized queries and WAF rules</t>
  </si>
  <si>
    <t>DB Admin</t>
  </si>
  <si>
    <t>A-003</t>
  </si>
  <si>
    <t>Employee Email Accounts</t>
  </si>
  <si>
    <t>Cloud Service</t>
  </si>
  <si>
    <t>Phishing / credential theft</t>
  </si>
  <si>
    <t>No multi-factor authentication required</t>
  </si>
  <si>
    <t>Spam filter only</t>
  </si>
  <si>
    <t>Enforce MFA org-wide</t>
  </si>
  <si>
    <t>A-004</t>
  </si>
  <si>
    <t>Guest WiFi Network</t>
  </si>
  <si>
    <t>Network</t>
  </si>
  <si>
    <t>Unauthorized network access</t>
  </si>
  <si>
    <t>Guest network not segmented from internal network</t>
  </si>
  <si>
    <t>WPA2 password</t>
  </si>
  <si>
    <t>Segment guest WiFi on separate VLAN</t>
  </si>
  <si>
    <t>Network Admin</t>
  </si>
  <si>
    <t>A-005</t>
  </si>
  <si>
    <t>Payroll System Access</t>
  </si>
  <si>
    <t>Application</t>
  </si>
  <si>
    <t>Insider threat / privilege misuse</t>
  </si>
  <si>
    <t>Excessive user permissions, no access review process</t>
  </si>
  <si>
    <t>Role-based login</t>
  </si>
  <si>
    <t>Conduct quarterly access reviews, apply least privilege</t>
  </si>
  <si>
    <t>HR/IT</t>
  </si>
  <si>
    <t>Risk Assessment &amp; Vulnerability Tracker - John Reid</t>
  </si>
  <si>
    <t>Purpose: This is a NIST 800-30-aligned risk register for a simulated small-business environment, built as a cybersecurity portfolio project.</t>
  </si>
  <si>
    <t>Methodology:</t>
  </si>
  <si>
    <t>1. Identify Assets - list each significant hardware, software, network, or data asset.</t>
  </si>
  <si>
    <t>2. Identify Threats and Vulnerabilities - for each asset, name a realistic threat and the specific weakness that enables it.</t>
  </si>
  <si>
    <t>3. Score Likelihood (1-5) - how probable is this threat exploiting the vulnerability? 1=rare, 5=near-certain.</t>
  </si>
  <si>
    <t>4. Score Impact (1-5) - how severe would the consequences be? 1=negligible, 5=catastrophic.</t>
  </si>
  <si>
    <t>5. Risk Score = Likelihood x Impact (auto-calculated, range 1-25).</t>
  </si>
  <si>
    <t>6. Risk Level - auto-assigned: Low (1-4), Medium (5-9), High (10-14), Critical (15-25).</t>
  </si>
  <si>
    <t>7. Recommend Mitigations - propose a specific, actionable control to reduce the risk.</t>
  </si>
  <si>
    <t>How to extend this project:</t>
  </si>
  <si>
    <t>- Add 10-15 more assets from a real or realistic environment (your home network, a campus lab, a hypothetical employer).</t>
  </si>
  <si>
    <t>- Re-score after applying a mitigation to show before/after risk reduction (good for demonstrating impact).</t>
  </si>
  <si>
    <t>- Add a summary chart (pie chart of risk levels, or bar chart of top 5 risks) on a new tab.</t>
  </si>
  <si>
    <t>- Write a 1-page executive summary as if presenting to a non-technical stakeholder.</t>
  </si>
  <si>
    <t>Resume bullet once complete:</t>
  </si>
  <si>
    <t>Built a NIST 800-30-aligned risk register assessing 20+ assets across a simulated business environment,</t>
  </si>
  <si>
    <t>quantifying risk via likelihood x impact scoring and prioritizing remediation recommendations.'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</si>
</sst>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4">
    <dxf>
      <fill>
        <patternFill>
          <bgColor rgb="FF92D050"/>
        </patternFill>
      </fill>
    </dxf>
    <dxf>
      <fill>
        <patternFill>
          <bgColor rgb="FF00C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8A10-BF84-43C0-BA91-7DD99BD1D287}">
  <dimension ref="A1:A22"/>
  <sheetViews>
    <sheetView tabSelected="1" workbookViewId="0"/>
  </sheetViews>
  <sheetFormatPr defaultRowHeight="14.4" x14ac:dyDescent="0.3"/>
  <cols>
    <col min="1" max="1" width="111" bestFit="1" customWidth="1"/>
  </cols>
  <sheetData>
    <row r="1" spans="1:1" ht="18" x14ac:dyDescent="0.35">
      <c r="A1" s="3" t="s">
        <v>53</v>
      </c>
    </row>
    <row r="3" spans="1:1" x14ac:dyDescent="0.3">
      <c r="A3" t="s">
        <v>54</v>
      </c>
    </row>
    <row r="5" spans="1:1" x14ac:dyDescent="0.3">
      <c r="A5" t="s">
        <v>55</v>
      </c>
    </row>
    <row r="6" spans="1:1" x14ac:dyDescent="0.3">
      <c r="A6" t="s">
        <v>56</v>
      </c>
    </row>
    <row r="7" spans="1:1" x14ac:dyDescent="0.3">
      <c r="A7" t="s">
        <v>57</v>
      </c>
    </row>
    <row r="8" spans="1:1" x14ac:dyDescent="0.3">
      <c r="A8" t="s">
        <v>58</v>
      </c>
    </row>
    <row r="9" spans="1:1" x14ac:dyDescent="0.3">
      <c r="A9" t="s">
        <v>59</v>
      </c>
    </row>
    <row r="10" spans="1:1" x14ac:dyDescent="0.3">
      <c r="A10" t="s">
        <v>60</v>
      </c>
    </row>
    <row r="11" spans="1:1" x14ac:dyDescent="0.3">
      <c r="A11" t="s">
        <v>61</v>
      </c>
    </row>
    <row r="12" spans="1:1" x14ac:dyDescent="0.3">
      <c r="A12" t="s">
        <v>62</v>
      </c>
    </row>
    <row r="14" spans="1:1" x14ac:dyDescent="0.3">
      <c r="A14" t="s">
        <v>63</v>
      </c>
    </row>
    <row r="15" spans="1:1" x14ac:dyDescent="0.3">
      <c r="A15" t="s">
        <v>64</v>
      </c>
    </row>
    <row r="16" spans="1:1" x14ac:dyDescent="0.3">
      <c r="A16" t="s">
        <v>65</v>
      </c>
    </row>
    <row r="17" spans="1:1" x14ac:dyDescent="0.3">
      <c r="A17" t="s">
        <v>66</v>
      </c>
    </row>
    <row r="18" spans="1:1" x14ac:dyDescent="0.3">
      <c r="A18" t="s">
        <v>67</v>
      </c>
    </row>
    <row r="20" spans="1:1" x14ac:dyDescent="0.3">
      <c r="A20" t="s">
        <v>68</v>
      </c>
    </row>
    <row r="21" spans="1:1" x14ac:dyDescent="0.3">
      <c r="A21" s="4" t="s">
        <v>69</v>
      </c>
    </row>
    <row r="22" spans="1:1" x14ac:dyDescent="0.3">
      <c r="A22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344E-52C2-4E99-9FE6-1FE594005306}">
  <dimension ref="A1:M6"/>
  <sheetViews>
    <sheetView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2" max="2" width="28.77734375" customWidth="1"/>
    <col min="3" max="3" width="14.77734375" customWidth="1"/>
    <col min="4" max="4" width="28.77734375" customWidth="1"/>
    <col min="5" max="5" width="32.77734375" customWidth="1"/>
    <col min="6" max="6" width="14.77734375" customWidth="1"/>
    <col min="7" max="7" width="12.77734375" customWidth="1"/>
    <col min="8" max="9" width="11.77734375" customWidth="1"/>
    <col min="10" max="10" width="22.77734375" customWidth="1"/>
    <col min="11" max="11" width="40.77734375" customWidth="1"/>
    <col min="12" max="12" width="14.77734375" customWidth="1"/>
    <col min="13" max="13" width="10.77734375" customWidth="1"/>
  </cols>
  <sheetData>
    <row r="1" spans="1:13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5" customHeight="1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3</v>
      </c>
      <c r="G2" s="2">
        <v>4</v>
      </c>
      <c r="H2" s="2">
        <f>F2*G2</f>
        <v>12</v>
      </c>
      <c r="I2" s="2" t="str">
        <f>IF(H2&gt;=15,"Critical",IF(H2&gt;=10,"High",IF(H2&gt;=5,"Medium","Low")))</f>
        <v>High</v>
      </c>
      <c r="J2" s="2" t="s">
        <v>18</v>
      </c>
      <c r="K2" s="2" t="s">
        <v>19</v>
      </c>
      <c r="L2" s="2" t="s">
        <v>20</v>
      </c>
      <c r="M2" s="2" t="s">
        <v>21</v>
      </c>
    </row>
    <row r="3" spans="1:13" ht="45" customHeight="1" x14ac:dyDescent="0.3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>
        <v>2</v>
      </c>
      <c r="G3" s="2">
        <v>5</v>
      </c>
      <c r="H3" s="2">
        <f>F3*G3</f>
        <v>10</v>
      </c>
      <c r="I3" s="2" t="str">
        <f>IF(H3&gt;=15,"Critical",IF(H3&gt;=10,"High",IF(H3&gt;=5,"Medium","Low")))</f>
        <v>High</v>
      </c>
      <c r="J3" s="2" t="s">
        <v>27</v>
      </c>
      <c r="K3" s="2" t="s">
        <v>28</v>
      </c>
      <c r="L3" s="2" t="s">
        <v>29</v>
      </c>
      <c r="M3" s="2" t="s">
        <v>21</v>
      </c>
    </row>
    <row r="4" spans="1:13" ht="45" customHeight="1" x14ac:dyDescent="0.3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>
        <v>4</v>
      </c>
      <c r="G4" s="2">
        <v>4</v>
      </c>
      <c r="H4" s="2">
        <f>F4*G4</f>
        <v>16</v>
      </c>
      <c r="I4" s="2" t="str">
        <f>IF(H4&gt;=15,"Critical",IF(H4&gt;=10,"High",IF(H4&gt;=5,"Medium","Low")))</f>
        <v>Critical</v>
      </c>
      <c r="J4" s="2" t="s">
        <v>35</v>
      </c>
      <c r="K4" s="2" t="s">
        <v>36</v>
      </c>
      <c r="L4" s="2" t="s">
        <v>20</v>
      </c>
      <c r="M4" s="2" t="s">
        <v>21</v>
      </c>
    </row>
    <row r="5" spans="1:13" ht="45" customHeight="1" x14ac:dyDescent="0.3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>
        <v>3</v>
      </c>
      <c r="G5" s="2">
        <v>3</v>
      </c>
      <c r="H5" s="2">
        <f>F5*G5</f>
        <v>9</v>
      </c>
      <c r="I5" s="2" t="str">
        <f>IF(H5&gt;=15,"Critical",IF(H5&gt;=10,"High",IF(H5&gt;=5,"Medium","Low")))</f>
        <v>Medium</v>
      </c>
      <c r="J5" s="2" t="s">
        <v>42</v>
      </c>
      <c r="K5" s="2" t="s">
        <v>43</v>
      </c>
      <c r="L5" s="2" t="s">
        <v>44</v>
      </c>
      <c r="M5" s="2" t="s">
        <v>21</v>
      </c>
    </row>
    <row r="6" spans="1:13" ht="45" customHeight="1" x14ac:dyDescent="0.3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>
        <v>2</v>
      </c>
      <c r="G6" s="2">
        <v>4</v>
      </c>
      <c r="H6" s="2">
        <f>F6*G6</f>
        <v>8</v>
      </c>
      <c r="I6" s="2" t="str">
        <f>IF(H6&gt;=15,"Critical",IF(H6&gt;=10,"High",IF(H6&gt;=5,"Medium","Low")))</f>
        <v>Medium</v>
      </c>
      <c r="J6" s="2" t="s">
        <v>50</v>
      </c>
      <c r="K6" s="2" t="s">
        <v>51</v>
      </c>
      <c r="L6" s="2" t="s">
        <v>52</v>
      </c>
      <c r="M6" s="2" t="s">
        <v>21</v>
      </c>
    </row>
  </sheetData>
  <autoFilter ref="A1:M1" xr:uid="{6699344E-52C2-4E99-9FE6-1FE594005306}"/>
  <conditionalFormatting sqref="I2:I6">
    <cfRule type="cellIs" dxfId="3" priority="1" stopIfTrue="1" operator="equal">
      <formula>"Critical"</formula>
    </cfRule>
    <cfRule type="cellIs" dxfId="2" priority="2" stopIfTrue="1" operator="equal">
      <formula>"High"</formula>
    </cfRule>
    <cfRule type="cellIs" dxfId="1" priority="3" stopIfTrue="1" operator="equal">
      <formula>"Medium"</formula>
    </cfRule>
    <cfRule type="cellIs" dxfId="0" priority="4" stopIfTrue="1" operator="equal">
      <formula>"Low"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Risk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Reid</dc:creator>
  <cp:lastModifiedBy>John Reid</cp:lastModifiedBy>
  <dcterms:created xsi:type="dcterms:W3CDTF">2026-06-24T06:03:00Z</dcterms:created>
  <dcterms:modified xsi:type="dcterms:W3CDTF">2026-06-24T06:04:20Z</dcterms:modified>
</cp:coreProperties>
</file>